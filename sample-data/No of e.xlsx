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c Research\Bimetallic compounds\CoRu\Electrochemistry\ORR\EC\"/>
    </mc:Choice>
  </mc:AlternateContent>
  <xr:revisionPtr revIDLastSave="0" documentId="13_ncr:1_{6290B54D-6B08-49AD-8B22-BEE9BC1C7C13}" xr6:coauthVersionLast="47" xr6:coauthVersionMax="47" xr10:uidLastSave="{00000000-0000-0000-0000-000000000000}"/>
  <bookViews>
    <workbookView xWindow="-110" yWindow="-110" windowWidth="19420" windowHeight="11500" xr2:uid="{97CD9B99-1350-45DC-B99C-1F06174FC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V29" i="1"/>
  <c r="V30" i="1"/>
  <c r="V31" i="1"/>
  <c r="V32" i="1"/>
  <c r="S28" i="1"/>
  <c r="S29" i="1"/>
  <c r="S30" i="1"/>
  <c r="S31" i="1"/>
  <c r="S32" i="1"/>
  <c r="P28" i="1"/>
  <c r="P29" i="1"/>
  <c r="P30" i="1"/>
  <c r="P31" i="1"/>
  <c r="P32" i="1"/>
  <c r="M28" i="1"/>
  <c r="M29" i="1"/>
  <c r="M30" i="1"/>
  <c r="M31" i="1"/>
  <c r="M32" i="1"/>
  <c r="J28" i="1"/>
  <c r="J29" i="1"/>
  <c r="J30" i="1"/>
  <c r="J31" i="1"/>
  <c r="J32" i="1"/>
  <c r="F32" i="1"/>
  <c r="G32" i="1" s="1"/>
  <c r="G31" i="1"/>
  <c r="F31" i="1"/>
  <c r="F30" i="1"/>
  <c r="G30" i="1" s="1"/>
  <c r="G29" i="1"/>
  <c r="F29" i="1"/>
  <c r="F28" i="1"/>
  <c r="G28" i="1" s="1"/>
  <c r="V18" i="1"/>
  <c r="V19" i="1"/>
  <c r="V20" i="1"/>
  <c r="V21" i="1"/>
  <c r="V22" i="1"/>
  <c r="S18" i="1"/>
  <c r="S19" i="1"/>
  <c r="S20" i="1"/>
  <c r="S21" i="1"/>
  <c r="S22" i="1"/>
  <c r="P18" i="1"/>
  <c r="P19" i="1"/>
  <c r="P20" i="1"/>
  <c r="P21" i="1"/>
  <c r="P22" i="1"/>
  <c r="M18" i="1"/>
  <c r="M19" i="1"/>
  <c r="M20" i="1"/>
  <c r="M21" i="1"/>
  <c r="M22" i="1"/>
  <c r="J18" i="1"/>
  <c r="J19" i="1"/>
  <c r="J20" i="1"/>
  <c r="J21" i="1"/>
  <c r="J22" i="1"/>
  <c r="F22" i="1"/>
  <c r="G22" i="1" s="1"/>
  <c r="G21" i="1"/>
  <c r="F21" i="1"/>
  <c r="F20" i="1"/>
  <c r="G20" i="1" s="1"/>
  <c r="G19" i="1"/>
  <c r="F19" i="1"/>
  <c r="F18" i="1"/>
  <c r="G18" i="1" s="1"/>
  <c r="V9" i="1"/>
  <c r="V10" i="1"/>
  <c r="V11" i="1"/>
  <c r="V12" i="1"/>
  <c r="V8" i="1"/>
  <c r="S9" i="1"/>
  <c r="S10" i="1"/>
  <c r="S11" i="1"/>
  <c r="S12" i="1"/>
  <c r="S8" i="1"/>
  <c r="P9" i="1"/>
  <c r="P10" i="1"/>
  <c r="P11" i="1"/>
  <c r="P12" i="1"/>
  <c r="P8" i="1"/>
  <c r="M9" i="1"/>
  <c r="M10" i="1"/>
  <c r="M11" i="1"/>
  <c r="M12" i="1"/>
  <c r="M8" i="1"/>
  <c r="J9" i="1"/>
  <c r="J10" i="1"/>
  <c r="J11" i="1"/>
  <c r="J12" i="1"/>
  <c r="J8" i="1"/>
  <c r="G9" i="1"/>
  <c r="G10" i="1"/>
  <c r="G11" i="1"/>
  <c r="G12" i="1"/>
  <c r="G8" i="1"/>
  <c r="F9" i="1"/>
  <c r="F10" i="1"/>
  <c r="F11" i="1"/>
  <c r="F12" i="1"/>
  <c r="F8" i="1"/>
</calcChain>
</file>

<file path=xl/sharedStrings.xml><?xml version="1.0" encoding="utf-8"?>
<sst xmlns="http://schemas.openxmlformats.org/spreadsheetml/2006/main" count="13" uniqueCount="13">
  <si>
    <t>rpm</t>
  </si>
  <si>
    <t>j</t>
  </si>
  <si>
    <t>0.7volt</t>
  </si>
  <si>
    <t>0.65volt</t>
  </si>
  <si>
    <t>0.50volt</t>
  </si>
  <si>
    <t>0.60volt</t>
  </si>
  <si>
    <t>0.55volt</t>
  </si>
  <si>
    <t>Ru0.3</t>
  </si>
  <si>
    <t>Ru0.5</t>
  </si>
  <si>
    <t>Ru1</t>
  </si>
  <si>
    <t>1/j</t>
  </si>
  <si>
    <t>1/sqrt w</t>
  </si>
  <si>
    <t>sqrt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</si>
</sst>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BD77-B3CD-4DED-BF79-8B47918A114F}">
  <dimension ref="E4:X32"/>
  <sheetViews>
    <sheetView tabSelected="1" zoomScale="92" zoomScaleNormal="92" workbookViewId="0">
      <selection activeCell="Z14" sqref="Z14"/>
    </sheetView>
  </sheetViews>
  <sheetFormatPr defaultRowHeight="14.5" x14ac:dyDescent="0.35"/>
  <sheetData>
    <row r="4" spans="5:24" x14ac:dyDescent="0.35">
      <c r="I4" t="s">
        <v>2</v>
      </c>
      <c r="J4" t="s">
        <v>10</v>
      </c>
      <c r="L4" t="s">
        <v>3</v>
      </c>
      <c r="O4" t="s">
        <v>5</v>
      </c>
      <c r="R4" t="s">
        <v>6</v>
      </c>
      <c r="U4" t="s">
        <v>4</v>
      </c>
    </row>
    <row r="6" spans="5:24" x14ac:dyDescent="0.35">
      <c r="E6" t="s">
        <v>0</v>
      </c>
      <c r="F6" t="s">
        <v>12</v>
      </c>
      <c r="G6" t="s">
        <v>11</v>
      </c>
      <c r="I6" t="s">
        <v>1</v>
      </c>
    </row>
    <row r="8" spans="5:24" x14ac:dyDescent="0.35">
      <c r="E8">
        <v>200</v>
      </c>
      <c r="F8">
        <f>SQRT(E8)</f>
        <v>14.142135623730951</v>
      </c>
      <c r="G8">
        <f>1/F8</f>
        <v>7.0710678118654752E-2</v>
      </c>
      <c r="I8">
        <v>2.19</v>
      </c>
      <c r="J8">
        <f>1/I8</f>
        <v>0.45662100456621008</v>
      </c>
      <c r="L8">
        <v>2.33</v>
      </c>
      <c r="M8">
        <f>1/L8</f>
        <v>0.42918454935622319</v>
      </c>
      <c r="O8">
        <v>2.42</v>
      </c>
      <c r="P8">
        <f>1/O8</f>
        <v>0.41322314049586778</v>
      </c>
      <c r="R8">
        <v>2.52</v>
      </c>
      <c r="S8">
        <f>1/R8</f>
        <v>0.3968253968253968</v>
      </c>
      <c r="U8">
        <v>2.63</v>
      </c>
      <c r="V8">
        <f>1/U8</f>
        <v>0.38022813688212931</v>
      </c>
    </row>
    <row r="9" spans="5:24" x14ac:dyDescent="0.35">
      <c r="E9">
        <v>400</v>
      </c>
      <c r="F9">
        <f t="shared" ref="F9:F12" si="0">SQRT(E9)</f>
        <v>20</v>
      </c>
      <c r="G9">
        <f t="shared" ref="G9:G12" si="1">1/F9</f>
        <v>0.05</v>
      </c>
      <c r="I9">
        <v>2.69</v>
      </c>
      <c r="J9">
        <f t="shared" ref="J9:J32" si="2">1/I9</f>
        <v>0.37174721189591081</v>
      </c>
      <c r="L9">
        <v>2.88</v>
      </c>
      <c r="M9">
        <f t="shared" ref="M9:M32" si="3">1/L9</f>
        <v>0.34722222222222221</v>
      </c>
      <c r="O9">
        <v>3.02</v>
      </c>
      <c r="P9">
        <f t="shared" ref="P9:P32" si="4">1/O9</f>
        <v>0.33112582781456956</v>
      </c>
      <c r="R9">
        <v>3.11</v>
      </c>
      <c r="S9">
        <f t="shared" ref="S9:S32" si="5">1/R9</f>
        <v>0.32154340836012862</v>
      </c>
      <c r="U9">
        <v>3.24</v>
      </c>
      <c r="V9">
        <f t="shared" ref="V9:V32" si="6">1/U9</f>
        <v>0.30864197530864196</v>
      </c>
    </row>
    <row r="10" spans="5:24" x14ac:dyDescent="0.35">
      <c r="E10">
        <v>800</v>
      </c>
      <c r="F10">
        <f t="shared" si="0"/>
        <v>28.284271247461902</v>
      </c>
      <c r="G10">
        <f t="shared" si="1"/>
        <v>3.5355339059327376E-2</v>
      </c>
      <c r="I10">
        <v>3.27</v>
      </c>
      <c r="J10">
        <f t="shared" si="2"/>
        <v>0.3058103975535168</v>
      </c>
      <c r="L10">
        <v>3.54</v>
      </c>
      <c r="M10">
        <f t="shared" si="3"/>
        <v>0.2824858757062147</v>
      </c>
      <c r="O10">
        <v>3.71</v>
      </c>
      <c r="P10">
        <f t="shared" si="4"/>
        <v>0.26954177897574122</v>
      </c>
      <c r="R10">
        <v>3.84</v>
      </c>
      <c r="S10">
        <f t="shared" si="5"/>
        <v>0.26041666666666669</v>
      </c>
      <c r="U10">
        <v>3.98</v>
      </c>
      <c r="V10">
        <f t="shared" si="6"/>
        <v>0.25125628140703515</v>
      </c>
      <c r="X10" t="s">
        <v>7</v>
      </c>
    </row>
    <row r="11" spans="5:24" x14ac:dyDescent="0.35">
      <c r="E11">
        <v>1200</v>
      </c>
      <c r="F11">
        <f t="shared" si="0"/>
        <v>34.641016151377549</v>
      </c>
      <c r="G11">
        <f t="shared" si="1"/>
        <v>2.8867513459481284E-2</v>
      </c>
      <c r="I11">
        <v>3.7</v>
      </c>
      <c r="J11">
        <f t="shared" si="2"/>
        <v>0.27027027027027023</v>
      </c>
      <c r="L11">
        <v>3.99</v>
      </c>
      <c r="M11">
        <f t="shared" si="3"/>
        <v>0.25062656641604009</v>
      </c>
      <c r="O11">
        <v>4.2300000000000004</v>
      </c>
      <c r="P11">
        <f t="shared" si="4"/>
        <v>0.23640661938534277</v>
      </c>
      <c r="R11">
        <v>4.3600000000000003</v>
      </c>
      <c r="S11">
        <f t="shared" si="5"/>
        <v>0.2293577981651376</v>
      </c>
      <c r="U11">
        <v>4.1500000000000004</v>
      </c>
      <c r="V11">
        <f t="shared" si="6"/>
        <v>0.24096385542168672</v>
      </c>
    </row>
    <row r="12" spans="5:24" x14ac:dyDescent="0.35">
      <c r="E12">
        <v>1600</v>
      </c>
      <c r="F12">
        <f t="shared" si="0"/>
        <v>40</v>
      </c>
      <c r="G12">
        <f t="shared" si="1"/>
        <v>2.5000000000000001E-2</v>
      </c>
      <c r="I12">
        <v>3.95</v>
      </c>
      <c r="J12">
        <f t="shared" si="2"/>
        <v>0.25316455696202528</v>
      </c>
      <c r="L12">
        <v>4.33</v>
      </c>
      <c r="M12">
        <f t="shared" si="3"/>
        <v>0.23094688221709006</v>
      </c>
      <c r="O12">
        <v>4.59</v>
      </c>
      <c r="P12">
        <f t="shared" si="4"/>
        <v>0.2178649237472767</v>
      </c>
      <c r="R12">
        <v>4.76</v>
      </c>
      <c r="S12">
        <f t="shared" si="5"/>
        <v>0.21008403361344538</v>
      </c>
      <c r="U12">
        <v>4.92</v>
      </c>
      <c r="V12">
        <f t="shared" si="6"/>
        <v>0.2032520325203252</v>
      </c>
    </row>
    <row r="18" spans="5:24" x14ac:dyDescent="0.35">
      <c r="E18">
        <v>200</v>
      </c>
      <c r="F18">
        <f>SQRT(E18)</f>
        <v>14.142135623730951</v>
      </c>
      <c r="G18">
        <f>1/F18</f>
        <v>7.0710678118654752E-2</v>
      </c>
      <c r="I18">
        <v>2.54</v>
      </c>
      <c r="J18">
        <f t="shared" si="2"/>
        <v>0.39370078740157477</v>
      </c>
      <c r="L18">
        <v>2.75</v>
      </c>
      <c r="M18">
        <f t="shared" si="3"/>
        <v>0.36363636363636365</v>
      </c>
      <c r="O18">
        <v>2.87</v>
      </c>
      <c r="P18">
        <f t="shared" si="4"/>
        <v>0.34843205574912889</v>
      </c>
      <c r="R18">
        <v>3.04</v>
      </c>
      <c r="S18">
        <f t="shared" si="5"/>
        <v>0.32894736842105265</v>
      </c>
      <c r="U18">
        <v>3.18</v>
      </c>
      <c r="V18">
        <f t="shared" si="6"/>
        <v>0.31446540880503143</v>
      </c>
    </row>
    <row r="19" spans="5:24" x14ac:dyDescent="0.35">
      <c r="E19">
        <v>400</v>
      </c>
      <c r="F19">
        <f t="shared" ref="F19:F22" si="7">SQRT(E19)</f>
        <v>20</v>
      </c>
      <c r="G19">
        <f t="shared" ref="G19:G22" si="8">1/F19</f>
        <v>0.05</v>
      </c>
      <c r="I19">
        <v>2.95</v>
      </c>
      <c r="J19">
        <f t="shared" si="2"/>
        <v>0.33898305084745761</v>
      </c>
      <c r="L19">
        <v>3.2</v>
      </c>
      <c r="M19">
        <f t="shared" si="3"/>
        <v>0.3125</v>
      </c>
      <c r="O19">
        <v>3.33</v>
      </c>
      <c r="P19">
        <f t="shared" si="4"/>
        <v>0.3003003003003003</v>
      </c>
      <c r="R19">
        <v>3.5</v>
      </c>
      <c r="S19">
        <f t="shared" si="5"/>
        <v>0.2857142857142857</v>
      </c>
      <c r="U19">
        <v>3.67</v>
      </c>
      <c r="V19">
        <f t="shared" si="6"/>
        <v>0.27247956403269757</v>
      </c>
    </row>
    <row r="20" spans="5:24" x14ac:dyDescent="0.35">
      <c r="E20">
        <v>800</v>
      </c>
      <c r="F20">
        <f t="shared" si="7"/>
        <v>28.284271247461902</v>
      </c>
      <c r="G20">
        <f t="shared" si="8"/>
        <v>3.5355339059327376E-2</v>
      </c>
      <c r="I20">
        <v>3.37</v>
      </c>
      <c r="J20">
        <f t="shared" si="2"/>
        <v>0.29673590504451036</v>
      </c>
      <c r="L20">
        <v>3.66</v>
      </c>
      <c r="M20">
        <f t="shared" si="3"/>
        <v>0.27322404371584696</v>
      </c>
      <c r="O20">
        <v>3.78</v>
      </c>
      <c r="P20">
        <f t="shared" si="4"/>
        <v>0.26455026455026459</v>
      </c>
      <c r="R20">
        <v>3.94</v>
      </c>
      <c r="S20">
        <f t="shared" si="5"/>
        <v>0.25380710659898476</v>
      </c>
      <c r="U20">
        <v>4.07</v>
      </c>
      <c r="V20">
        <f t="shared" si="6"/>
        <v>0.24570024570024568</v>
      </c>
      <c r="X20" t="s">
        <v>8</v>
      </c>
    </row>
    <row r="21" spans="5:24" x14ac:dyDescent="0.35">
      <c r="E21">
        <v>1200</v>
      </c>
      <c r="F21">
        <f t="shared" si="7"/>
        <v>34.641016151377549</v>
      </c>
      <c r="G21">
        <f t="shared" si="8"/>
        <v>2.8867513459481284E-2</v>
      </c>
      <c r="I21">
        <v>3.66</v>
      </c>
      <c r="J21">
        <f t="shared" si="2"/>
        <v>0.27322404371584696</v>
      </c>
      <c r="L21">
        <v>4.03</v>
      </c>
      <c r="M21">
        <f t="shared" si="3"/>
        <v>0.24813895781637715</v>
      </c>
      <c r="O21">
        <v>4.22</v>
      </c>
      <c r="P21">
        <f t="shared" si="4"/>
        <v>0.23696682464454977</v>
      </c>
      <c r="R21">
        <v>4.37</v>
      </c>
      <c r="S21">
        <f t="shared" si="5"/>
        <v>0.22883295194508008</v>
      </c>
      <c r="U21">
        <v>4.55</v>
      </c>
      <c r="V21">
        <f t="shared" si="6"/>
        <v>0.21978021978021978</v>
      </c>
    </row>
    <row r="22" spans="5:24" x14ac:dyDescent="0.35">
      <c r="E22">
        <v>1600</v>
      </c>
      <c r="F22">
        <f t="shared" si="7"/>
        <v>40</v>
      </c>
      <c r="G22">
        <f t="shared" si="8"/>
        <v>2.5000000000000001E-2</v>
      </c>
      <c r="I22">
        <v>3.87</v>
      </c>
      <c r="J22">
        <f t="shared" si="2"/>
        <v>0.25839793281653745</v>
      </c>
      <c r="L22">
        <v>4.4400000000000004</v>
      </c>
      <c r="M22">
        <f t="shared" si="3"/>
        <v>0.2252252252252252</v>
      </c>
      <c r="O22">
        <v>4.7300000000000004</v>
      </c>
      <c r="P22">
        <f t="shared" si="4"/>
        <v>0.21141649048625791</v>
      </c>
      <c r="R22">
        <v>4.9400000000000004</v>
      </c>
      <c r="S22">
        <f t="shared" si="5"/>
        <v>0.20242914979757085</v>
      </c>
      <c r="U22">
        <v>5.15</v>
      </c>
      <c r="V22">
        <f t="shared" si="6"/>
        <v>0.1941747572815534</v>
      </c>
    </row>
    <row r="28" spans="5:24" x14ac:dyDescent="0.35">
      <c r="E28">
        <v>200</v>
      </c>
      <c r="F28">
        <f>SQRT(E28)</f>
        <v>14.142135623730951</v>
      </c>
      <c r="G28">
        <f>1/F28</f>
        <v>7.0710678118654752E-2</v>
      </c>
      <c r="I28">
        <v>2.34</v>
      </c>
      <c r="J28">
        <f t="shared" si="2"/>
        <v>0.42735042735042739</v>
      </c>
      <c r="L28">
        <v>2.4</v>
      </c>
      <c r="M28">
        <f t="shared" si="3"/>
        <v>0.41666666666666669</v>
      </c>
      <c r="O28">
        <v>2.5</v>
      </c>
      <c r="P28">
        <f t="shared" si="4"/>
        <v>0.4</v>
      </c>
      <c r="R28">
        <v>2.59</v>
      </c>
      <c r="S28">
        <f t="shared" si="5"/>
        <v>0.38610038610038611</v>
      </c>
      <c r="U28">
        <v>2.64</v>
      </c>
      <c r="V28">
        <f t="shared" si="6"/>
        <v>0.37878787878787878</v>
      </c>
    </row>
    <row r="29" spans="5:24" x14ac:dyDescent="0.35">
      <c r="E29">
        <v>400</v>
      </c>
      <c r="F29">
        <f t="shared" ref="F29:F32" si="9">SQRT(E29)</f>
        <v>20</v>
      </c>
      <c r="G29">
        <f t="shared" ref="G29:G32" si="10">1/F29</f>
        <v>0.05</v>
      </c>
      <c r="I29">
        <v>2.64</v>
      </c>
      <c r="J29">
        <f t="shared" si="2"/>
        <v>0.37878787878787878</v>
      </c>
      <c r="L29">
        <v>2.87</v>
      </c>
      <c r="M29">
        <f t="shared" si="3"/>
        <v>0.34843205574912889</v>
      </c>
      <c r="O29">
        <v>3.01</v>
      </c>
      <c r="P29">
        <f t="shared" si="4"/>
        <v>0.33222591362126247</v>
      </c>
      <c r="R29">
        <v>3.14</v>
      </c>
      <c r="S29">
        <f t="shared" si="5"/>
        <v>0.31847133757961782</v>
      </c>
      <c r="U29">
        <v>3.2</v>
      </c>
      <c r="V29">
        <f t="shared" si="6"/>
        <v>0.3125</v>
      </c>
    </row>
    <row r="30" spans="5:24" x14ac:dyDescent="0.35">
      <c r="E30">
        <v>800</v>
      </c>
      <c r="F30">
        <f t="shared" si="9"/>
        <v>28.284271247461902</v>
      </c>
      <c r="G30">
        <f t="shared" si="10"/>
        <v>3.5355339059327376E-2</v>
      </c>
      <c r="I30">
        <v>3.21</v>
      </c>
      <c r="J30">
        <f t="shared" si="2"/>
        <v>0.3115264797507788</v>
      </c>
      <c r="L30">
        <v>3.46</v>
      </c>
      <c r="M30">
        <f t="shared" si="3"/>
        <v>0.28901734104046245</v>
      </c>
      <c r="O30">
        <v>3.64</v>
      </c>
      <c r="P30">
        <f t="shared" si="4"/>
        <v>0.27472527472527469</v>
      </c>
      <c r="R30">
        <v>3.73</v>
      </c>
      <c r="S30">
        <f t="shared" si="5"/>
        <v>0.26809651474530832</v>
      </c>
      <c r="U30">
        <v>3.86</v>
      </c>
      <c r="V30">
        <f t="shared" si="6"/>
        <v>0.2590673575129534</v>
      </c>
      <c r="X30" t="s">
        <v>9</v>
      </c>
    </row>
    <row r="31" spans="5:24" x14ac:dyDescent="0.35">
      <c r="E31">
        <v>1200</v>
      </c>
      <c r="F31">
        <f t="shared" si="9"/>
        <v>34.641016151377549</v>
      </c>
      <c r="G31">
        <f t="shared" si="10"/>
        <v>2.8867513459481284E-2</v>
      </c>
      <c r="I31">
        <v>3.52</v>
      </c>
      <c r="J31">
        <f t="shared" si="2"/>
        <v>0.28409090909090912</v>
      </c>
      <c r="L31">
        <v>3.86</v>
      </c>
      <c r="M31">
        <f t="shared" si="3"/>
        <v>0.2590673575129534</v>
      </c>
      <c r="O31">
        <v>4.0599999999999996</v>
      </c>
      <c r="P31">
        <f t="shared" si="4"/>
        <v>0.24630541871921185</v>
      </c>
      <c r="R31">
        <v>4.1900000000000004</v>
      </c>
      <c r="S31">
        <f t="shared" si="5"/>
        <v>0.2386634844868735</v>
      </c>
      <c r="U31">
        <v>4.3099999999999996</v>
      </c>
      <c r="V31">
        <f t="shared" si="6"/>
        <v>0.23201856148491881</v>
      </c>
    </row>
    <row r="32" spans="5:24" x14ac:dyDescent="0.35">
      <c r="E32">
        <v>1600</v>
      </c>
      <c r="F32">
        <f t="shared" si="9"/>
        <v>40</v>
      </c>
      <c r="G32">
        <f t="shared" si="10"/>
        <v>2.5000000000000001E-2</v>
      </c>
      <c r="I32">
        <v>3.76</v>
      </c>
      <c r="J32">
        <f t="shared" si="2"/>
        <v>0.26595744680851063</v>
      </c>
      <c r="L32">
        <v>4.18</v>
      </c>
      <c r="M32">
        <f t="shared" si="3"/>
        <v>0.23923444976076558</v>
      </c>
      <c r="O32">
        <v>4.4000000000000004</v>
      </c>
      <c r="P32">
        <f t="shared" si="4"/>
        <v>0.22727272727272727</v>
      </c>
      <c r="R32">
        <v>4.53</v>
      </c>
      <c r="S32">
        <f t="shared" si="5"/>
        <v>0.22075055187637968</v>
      </c>
      <c r="U32">
        <v>4.68</v>
      </c>
      <c r="V32">
        <f t="shared" si="6"/>
        <v>0.21367521367521369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kumar</dc:creator>
  <cp:lastModifiedBy>Sarvesh Kumar</cp:lastModifiedBy>
  <dcterms:created xsi:type="dcterms:W3CDTF">2023-01-26T15:11:56Z</dcterms:created>
  <dcterms:modified xsi:type="dcterms:W3CDTF">2026-08-04T15:00:23Z</dcterms:modified>
</cp:coreProperties>
</file>