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Sc Research\Single metal compounds\Co-N-S, 950C, 3dpm\Electrochemistry\ORR\"/>
    </mc:Choice>
  </mc:AlternateContent>
  <xr:revisionPtr revIDLastSave="0" documentId="13_ncr:1_{17162A90-EB70-46FB-B999-98917E5FA88A}" xr6:coauthVersionLast="47" xr6:coauthVersionMax="47" xr10:uidLastSave="{00000000-0000-0000-0000-000000000000}"/>
  <bookViews>
    <workbookView xWindow="-110" yWindow="-110" windowWidth="19420" windowHeight="11500" xr2:uid="{1CE7FE74-253F-4A72-B86C-6CE4576C0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1" l="1"/>
  <c r="U11" i="1"/>
  <c r="U12" i="1"/>
  <c r="U13" i="1"/>
  <c r="U14" i="1"/>
  <c r="U18" i="1"/>
  <c r="U19" i="1"/>
  <c r="U20" i="1"/>
  <c r="U21" i="1"/>
  <c r="U22" i="1"/>
  <c r="U23" i="1"/>
  <c r="U27" i="1"/>
  <c r="U28" i="1"/>
  <c r="U29" i="1"/>
  <c r="U30" i="1"/>
  <c r="U31" i="1"/>
  <c r="U32" i="1"/>
  <c r="U36" i="1"/>
  <c r="U37" i="1"/>
  <c r="U38" i="1"/>
  <c r="U39" i="1"/>
  <c r="U40" i="1"/>
  <c r="U41" i="1"/>
  <c r="U9" i="1"/>
  <c r="R10" i="1"/>
  <c r="R11" i="1"/>
  <c r="R12" i="1"/>
  <c r="R13" i="1"/>
  <c r="R14" i="1"/>
  <c r="R18" i="1"/>
  <c r="R19" i="1"/>
  <c r="R20" i="1"/>
  <c r="R21" i="1"/>
  <c r="R22" i="1"/>
  <c r="R23" i="1"/>
  <c r="R27" i="1"/>
  <c r="R28" i="1"/>
  <c r="R29" i="1"/>
  <c r="R30" i="1"/>
  <c r="R31" i="1"/>
  <c r="R32" i="1"/>
  <c r="R36" i="1"/>
  <c r="R37" i="1"/>
  <c r="R38" i="1"/>
  <c r="R39" i="1"/>
  <c r="R40" i="1"/>
  <c r="R41" i="1"/>
  <c r="R9" i="1"/>
  <c r="O10" i="1"/>
  <c r="O11" i="1"/>
  <c r="O12" i="1"/>
  <c r="O13" i="1"/>
  <c r="O14" i="1"/>
  <c r="O18" i="1"/>
  <c r="O19" i="1"/>
  <c r="O20" i="1"/>
  <c r="O21" i="1"/>
  <c r="O22" i="1"/>
  <c r="O23" i="1"/>
  <c r="O27" i="1"/>
  <c r="O28" i="1"/>
  <c r="O29" i="1"/>
  <c r="O30" i="1"/>
  <c r="O31" i="1"/>
  <c r="O32" i="1"/>
  <c r="O36" i="1"/>
  <c r="O37" i="1"/>
  <c r="O38" i="1"/>
  <c r="O39" i="1"/>
  <c r="O40" i="1"/>
  <c r="O41" i="1"/>
  <c r="O9" i="1"/>
  <c r="L10" i="1"/>
  <c r="L11" i="1"/>
  <c r="L12" i="1"/>
  <c r="L13" i="1"/>
  <c r="L14" i="1"/>
  <c r="L18" i="1"/>
  <c r="L19" i="1"/>
  <c r="L20" i="1"/>
  <c r="L21" i="1"/>
  <c r="L22" i="1"/>
  <c r="L23" i="1"/>
  <c r="L27" i="1"/>
  <c r="L28" i="1"/>
  <c r="L29" i="1"/>
  <c r="L30" i="1"/>
  <c r="L31" i="1"/>
  <c r="L32" i="1"/>
  <c r="L36" i="1"/>
  <c r="L37" i="1"/>
  <c r="L38" i="1"/>
  <c r="L39" i="1"/>
  <c r="L40" i="1"/>
  <c r="L41" i="1"/>
  <c r="L9" i="1"/>
  <c r="I10" i="1"/>
  <c r="I11" i="1"/>
  <c r="I12" i="1"/>
  <c r="I13" i="1"/>
  <c r="I14" i="1"/>
  <c r="I18" i="1"/>
  <c r="I19" i="1"/>
  <c r="I20" i="1"/>
  <c r="I21" i="1"/>
  <c r="I22" i="1"/>
  <c r="I23" i="1"/>
  <c r="I27" i="1"/>
  <c r="I28" i="1"/>
  <c r="I29" i="1"/>
  <c r="I30" i="1"/>
  <c r="I31" i="1"/>
  <c r="I32" i="1"/>
  <c r="I36" i="1"/>
  <c r="I37" i="1"/>
  <c r="I38" i="1"/>
  <c r="I39" i="1"/>
  <c r="I40" i="1"/>
  <c r="I41" i="1"/>
  <c r="I9" i="1"/>
  <c r="E14" i="1"/>
  <c r="F14" i="1" s="1"/>
  <c r="F13" i="1"/>
  <c r="E13" i="1"/>
  <c r="F12" i="1"/>
  <c r="E12" i="1"/>
  <c r="F11" i="1"/>
  <c r="E11" i="1"/>
  <c r="F10" i="1"/>
  <c r="E10" i="1"/>
  <c r="F9" i="1"/>
  <c r="E9" i="1"/>
</calcChain>
</file>

<file path=xl/sharedStrings.xml><?xml version="1.0" encoding="utf-8"?>
<sst xmlns="http://schemas.openxmlformats.org/spreadsheetml/2006/main" count="14" uniqueCount="14">
  <si>
    <t>rpm</t>
  </si>
  <si>
    <t>0.600V</t>
  </si>
  <si>
    <t>0.500V</t>
  </si>
  <si>
    <t>0.400V</t>
  </si>
  <si>
    <t>j</t>
  </si>
  <si>
    <t>1/j</t>
  </si>
  <si>
    <t>0.800V</t>
  </si>
  <si>
    <t>0.70V</t>
  </si>
  <si>
    <t>Co-C</t>
  </si>
  <si>
    <t>1/sqrt w</t>
  </si>
  <si>
    <t>Co-500</t>
  </si>
  <si>
    <t>Co-2000</t>
  </si>
  <si>
    <t>Co-1000</t>
  </si>
  <si>
    <t>sqrt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</si>
</sst>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5E38-B373-4176-B661-2E4EC69222FD}">
  <dimension ref="D7:W41"/>
  <sheetViews>
    <sheetView tabSelected="1" topLeftCell="C1" workbookViewId="0">
      <selection activeCell="H3" sqref="H3"/>
    </sheetView>
  </sheetViews>
  <sheetFormatPr defaultRowHeight="14.5" x14ac:dyDescent="0.35"/>
  <cols>
    <col min="23" max="23" width="9.90625" customWidth="1"/>
  </cols>
  <sheetData>
    <row r="7" spans="4:23" x14ac:dyDescent="0.35">
      <c r="D7" t="s">
        <v>0</v>
      </c>
      <c r="E7" t="s">
        <v>13</v>
      </c>
      <c r="F7" t="s">
        <v>9</v>
      </c>
      <c r="H7" t="s">
        <v>6</v>
      </c>
      <c r="K7" t="s">
        <v>7</v>
      </c>
      <c r="N7" t="s">
        <v>1</v>
      </c>
      <c r="Q7" t="s">
        <v>2</v>
      </c>
      <c r="T7" t="s">
        <v>3</v>
      </c>
    </row>
    <row r="9" spans="4:23" x14ac:dyDescent="0.35">
      <c r="D9">
        <v>400</v>
      </c>
      <c r="E9">
        <f>SQRT(D9)</f>
        <v>20</v>
      </c>
      <c r="F9">
        <f>1/E9</f>
        <v>0.05</v>
      </c>
      <c r="H9">
        <v>1.69</v>
      </c>
      <c r="I9">
        <f>1/H9</f>
        <v>0.59171597633136097</v>
      </c>
      <c r="K9">
        <v>1.1200000000000001</v>
      </c>
      <c r="L9">
        <f>1/K9</f>
        <v>0.89285714285714279</v>
      </c>
      <c r="N9">
        <v>1.24</v>
      </c>
      <c r="O9">
        <f>1/N9</f>
        <v>0.80645161290322587</v>
      </c>
      <c r="Q9">
        <v>1.3</v>
      </c>
      <c r="R9">
        <f>1/Q9</f>
        <v>0.76923076923076916</v>
      </c>
      <c r="T9">
        <v>1.34</v>
      </c>
      <c r="U9">
        <f>1/T9</f>
        <v>0.74626865671641784</v>
      </c>
    </row>
    <row r="10" spans="4:23" x14ac:dyDescent="0.35">
      <c r="D10">
        <v>800</v>
      </c>
      <c r="E10">
        <f t="shared" ref="E10:E14" si="0">SQRT(D10)</f>
        <v>28.284271247461902</v>
      </c>
      <c r="F10">
        <f t="shared" ref="F10:F14" si="1">1/E10</f>
        <v>3.5355339059327376E-2</v>
      </c>
      <c r="H10">
        <v>2.0299999999999998</v>
      </c>
      <c r="I10">
        <f t="shared" ref="I10:I41" si="2">1/H10</f>
        <v>0.49261083743842371</v>
      </c>
      <c r="K10">
        <v>1.62</v>
      </c>
      <c r="L10">
        <f t="shared" ref="L10:L41" si="3">1/K10</f>
        <v>0.61728395061728392</v>
      </c>
      <c r="N10">
        <v>1.7</v>
      </c>
      <c r="O10">
        <f t="shared" ref="O10:O41" si="4">1/N10</f>
        <v>0.58823529411764708</v>
      </c>
      <c r="Q10">
        <v>1.84</v>
      </c>
      <c r="R10">
        <f t="shared" ref="R10:R41" si="5">1/Q10</f>
        <v>0.54347826086956519</v>
      </c>
      <c r="T10">
        <v>1.86</v>
      </c>
      <c r="U10">
        <f t="shared" ref="U10:U41" si="6">1/T10</f>
        <v>0.5376344086021505</v>
      </c>
    </row>
    <row r="11" spans="4:23" x14ac:dyDescent="0.35">
      <c r="D11">
        <v>1200</v>
      </c>
      <c r="E11">
        <f t="shared" si="0"/>
        <v>34.641016151377549</v>
      </c>
      <c r="F11">
        <f t="shared" si="1"/>
        <v>2.8867513459481284E-2</v>
      </c>
      <c r="H11">
        <v>2.29</v>
      </c>
      <c r="I11">
        <f t="shared" si="2"/>
        <v>0.4366812227074236</v>
      </c>
      <c r="K11">
        <v>1.96</v>
      </c>
      <c r="L11">
        <f t="shared" si="3"/>
        <v>0.51020408163265307</v>
      </c>
      <c r="N11">
        <v>2.0299999999999998</v>
      </c>
      <c r="O11">
        <f t="shared" si="4"/>
        <v>0.49261083743842371</v>
      </c>
      <c r="Q11">
        <v>2.2000000000000002</v>
      </c>
      <c r="R11">
        <f t="shared" si="5"/>
        <v>0.45454545454545453</v>
      </c>
      <c r="T11">
        <v>2.3199999999999998</v>
      </c>
      <c r="U11">
        <f t="shared" si="6"/>
        <v>0.43103448275862072</v>
      </c>
      <c r="W11" t="s">
        <v>8</v>
      </c>
    </row>
    <row r="12" spans="4:23" x14ac:dyDescent="0.35">
      <c r="D12">
        <v>1600</v>
      </c>
      <c r="E12">
        <f t="shared" si="0"/>
        <v>40</v>
      </c>
      <c r="F12">
        <f t="shared" si="1"/>
        <v>2.5000000000000001E-2</v>
      </c>
      <c r="H12">
        <v>2.52</v>
      </c>
      <c r="I12">
        <f t="shared" si="2"/>
        <v>0.3968253968253968</v>
      </c>
      <c r="K12">
        <v>2.25</v>
      </c>
      <c r="L12">
        <f t="shared" si="3"/>
        <v>0.44444444444444442</v>
      </c>
      <c r="N12">
        <v>2.38</v>
      </c>
      <c r="O12">
        <f t="shared" si="4"/>
        <v>0.42016806722689076</v>
      </c>
      <c r="Q12">
        <v>2.54</v>
      </c>
      <c r="R12">
        <f t="shared" si="5"/>
        <v>0.39370078740157477</v>
      </c>
      <c r="T12">
        <v>2.65</v>
      </c>
      <c r="U12">
        <f t="shared" si="6"/>
        <v>0.37735849056603776</v>
      </c>
    </row>
    <row r="13" spans="4:23" x14ac:dyDescent="0.35">
      <c r="D13">
        <v>2000</v>
      </c>
      <c r="E13">
        <f t="shared" si="0"/>
        <v>44.721359549995796</v>
      </c>
      <c r="F13">
        <f t="shared" si="1"/>
        <v>2.2360679774997897E-2</v>
      </c>
      <c r="H13">
        <v>2.68</v>
      </c>
      <c r="I13">
        <f t="shared" si="2"/>
        <v>0.37313432835820892</v>
      </c>
      <c r="K13">
        <v>2.52</v>
      </c>
      <c r="L13">
        <f t="shared" si="3"/>
        <v>0.3968253968253968</v>
      </c>
      <c r="N13">
        <v>2.62</v>
      </c>
      <c r="O13">
        <f t="shared" si="4"/>
        <v>0.38167938931297707</v>
      </c>
      <c r="Q13">
        <v>2.8</v>
      </c>
      <c r="R13">
        <f t="shared" si="5"/>
        <v>0.35714285714285715</v>
      </c>
      <c r="T13">
        <v>2.92</v>
      </c>
      <c r="U13">
        <f t="shared" si="6"/>
        <v>0.34246575342465752</v>
      </c>
    </row>
    <row r="14" spans="4:23" x14ac:dyDescent="0.35">
      <c r="D14">
        <v>2400</v>
      </c>
      <c r="E14">
        <f t="shared" si="0"/>
        <v>48.989794855663561</v>
      </c>
      <c r="F14">
        <f t="shared" si="1"/>
        <v>2.0412414523193152E-2</v>
      </c>
      <c r="H14">
        <v>2.84</v>
      </c>
      <c r="I14">
        <f t="shared" si="2"/>
        <v>0.35211267605633806</v>
      </c>
      <c r="K14">
        <v>2.72</v>
      </c>
      <c r="L14">
        <f t="shared" si="3"/>
        <v>0.36764705882352938</v>
      </c>
      <c r="N14">
        <v>2.87</v>
      </c>
      <c r="O14">
        <f t="shared" si="4"/>
        <v>0.34843205574912889</v>
      </c>
      <c r="Q14">
        <v>3.05</v>
      </c>
      <c r="R14">
        <f t="shared" si="5"/>
        <v>0.32786885245901642</v>
      </c>
      <c r="T14">
        <v>3.22</v>
      </c>
      <c r="U14">
        <f t="shared" si="6"/>
        <v>0.3105590062111801</v>
      </c>
    </row>
    <row r="15" spans="4:23" x14ac:dyDescent="0.35">
      <c r="H15" t="s">
        <v>4</v>
      </c>
      <c r="I15" t="s">
        <v>5</v>
      </c>
    </row>
    <row r="18" spans="8:23" x14ac:dyDescent="0.35">
      <c r="H18">
        <v>1.68</v>
      </c>
      <c r="I18">
        <f t="shared" si="2"/>
        <v>0.59523809523809523</v>
      </c>
      <c r="K18">
        <v>1.73</v>
      </c>
      <c r="L18">
        <f t="shared" si="3"/>
        <v>0.5780346820809249</v>
      </c>
      <c r="N18">
        <v>1.85</v>
      </c>
      <c r="O18">
        <f t="shared" si="4"/>
        <v>0.54054054054054046</v>
      </c>
      <c r="Q18">
        <v>1.96</v>
      </c>
      <c r="R18">
        <f t="shared" si="5"/>
        <v>0.51020408163265307</v>
      </c>
      <c r="T18">
        <v>2.06</v>
      </c>
      <c r="U18">
        <f t="shared" si="6"/>
        <v>0.4854368932038835</v>
      </c>
    </row>
    <row r="19" spans="8:23" x14ac:dyDescent="0.35">
      <c r="H19">
        <v>1.98</v>
      </c>
      <c r="I19">
        <f t="shared" si="2"/>
        <v>0.50505050505050508</v>
      </c>
      <c r="K19">
        <v>2.0499999999999998</v>
      </c>
      <c r="L19">
        <f t="shared" si="3"/>
        <v>0.48780487804878053</v>
      </c>
      <c r="N19">
        <v>2.14</v>
      </c>
      <c r="O19">
        <f t="shared" si="4"/>
        <v>0.46728971962616822</v>
      </c>
      <c r="Q19">
        <v>2.23</v>
      </c>
      <c r="R19">
        <f t="shared" si="5"/>
        <v>0.44843049327354262</v>
      </c>
      <c r="T19">
        <v>2.36</v>
      </c>
      <c r="U19">
        <f t="shared" si="6"/>
        <v>0.42372881355932207</v>
      </c>
    </row>
    <row r="20" spans="8:23" x14ac:dyDescent="0.35">
      <c r="H20">
        <v>2.2000000000000002</v>
      </c>
      <c r="I20">
        <f t="shared" si="2"/>
        <v>0.45454545454545453</v>
      </c>
      <c r="K20">
        <v>2.2599999999999998</v>
      </c>
      <c r="L20">
        <f t="shared" si="3"/>
        <v>0.44247787610619471</v>
      </c>
      <c r="N20">
        <v>2.4</v>
      </c>
      <c r="O20">
        <f t="shared" si="4"/>
        <v>0.41666666666666669</v>
      </c>
      <c r="Q20">
        <v>2.5</v>
      </c>
      <c r="R20">
        <f t="shared" si="5"/>
        <v>0.4</v>
      </c>
      <c r="T20">
        <v>2.62</v>
      </c>
      <c r="U20">
        <f t="shared" si="6"/>
        <v>0.38167938931297707</v>
      </c>
      <c r="W20" t="s">
        <v>10</v>
      </c>
    </row>
    <row r="21" spans="8:23" x14ac:dyDescent="0.35">
      <c r="H21">
        <v>2.38</v>
      </c>
      <c r="I21">
        <f t="shared" si="2"/>
        <v>0.42016806722689076</v>
      </c>
      <c r="K21">
        <v>2.5</v>
      </c>
      <c r="L21">
        <f t="shared" si="3"/>
        <v>0.4</v>
      </c>
      <c r="N21">
        <v>2.64</v>
      </c>
      <c r="O21">
        <f t="shared" si="4"/>
        <v>0.37878787878787878</v>
      </c>
      <c r="Q21">
        <v>2.72</v>
      </c>
      <c r="R21">
        <f t="shared" si="5"/>
        <v>0.36764705882352938</v>
      </c>
      <c r="T21">
        <v>2.8</v>
      </c>
      <c r="U21">
        <f t="shared" si="6"/>
        <v>0.35714285714285715</v>
      </c>
    </row>
    <row r="22" spans="8:23" x14ac:dyDescent="0.35">
      <c r="H22">
        <v>2.54</v>
      </c>
      <c r="I22">
        <f t="shared" si="2"/>
        <v>0.39370078740157477</v>
      </c>
      <c r="K22">
        <v>2.62</v>
      </c>
      <c r="L22">
        <f t="shared" si="3"/>
        <v>0.38167938931297707</v>
      </c>
      <c r="N22">
        <v>2.76</v>
      </c>
      <c r="O22">
        <f t="shared" si="4"/>
        <v>0.3623188405797102</v>
      </c>
      <c r="Q22">
        <v>2.86</v>
      </c>
      <c r="R22">
        <f t="shared" si="5"/>
        <v>0.34965034965034969</v>
      </c>
      <c r="T22">
        <v>2.98</v>
      </c>
      <c r="U22">
        <f t="shared" si="6"/>
        <v>0.33557046979865773</v>
      </c>
    </row>
    <row r="23" spans="8:23" x14ac:dyDescent="0.35">
      <c r="H23">
        <v>2.7</v>
      </c>
      <c r="I23">
        <f t="shared" si="2"/>
        <v>0.37037037037037035</v>
      </c>
      <c r="K23">
        <v>2.82</v>
      </c>
      <c r="L23">
        <f t="shared" si="3"/>
        <v>0.3546099290780142</v>
      </c>
      <c r="N23">
        <v>2.94</v>
      </c>
      <c r="O23">
        <f t="shared" si="4"/>
        <v>0.3401360544217687</v>
      </c>
      <c r="Q23">
        <v>3.07</v>
      </c>
      <c r="R23">
        <f t="shared" si="5"/>
        <v>0.32573289902280134</v>
      </c>
      <c r="T23">
        <v>3.18</v>
      </c>
      <c r="U23">
        <f t="shared" si="6"/>
        <v>0.31446540880503143</v>
      </c>
    </row>
    <row r="27" spans="8:23" x14ac:dyDescent="0.35">
      <c r="H27">
        <v>2.86</v>
      </c>
      <c r="I27">
        <f t="shared" si="2"/>
        <v>0.34965034965034969</v>
      </c>
      <c r="K27">
        <v>2.77</v>
      </c>
      <c r="L27">
        <f t="shared" si="3"/>
        <v>0.36101083032490977</v>
      </c>
      <c r="N27">
        <v>2.75</v>
      </c>
      <c r="O27">
        <f t="shared" si="4"/>
        <v>0.36363636363636365</v>
      </c>
      <c r="Q27">
        <v>2.67</v>
      </c>
      <c r="R27">
        <f t="shared" si="5"/>
        <v>0.37453183520599254</v>
      </c>
      <c r="T27">
        <v>2.6</v>
      </c>
      <c r="U27">
        <f t="shared" si="6"/>
        <v>0.38461538461538458</v>
      </c>
    </row>
    <row r="28" spans="8:23" x14ac:dyDescent="0.35">
      <c r="H28">
        <v>3.37</v>
      </c>
      <c r="I28">
        <f t="shared" si="2"/>
        <v>0.29673590504451036</v>
      </c>
      <c r="K28">
        <v>3.38</v>
      </c>
      <c r="L28">
        <f t="shared" si="3"/>
        <v>0.29585798816568049</v>
      </c>
      <c r="N28">
        <v>3.28</v>
      </c>
      <c r="O28">
        <f t="shared" si="4"/>
        <v>0.3048780487804878</v>
      </c>
      <c r="Q28">
        <v>3.12</v>
      </c>
      <c r="R28">
        <f t="shared" si="5"/>
        <v>0.32051282051282048</v>
      </c>
      <c r="T28">
        <v>3.06</v>
      </c>
      <c r="U28">
        <f t="shared" si="6"/>
        <v>0.32679738562091504</v>
      </c>
    </row>
    <row r="29" spans="8:23" x14ac:dyDescent="0.35">
      <c r="H29">
        <v>3.81</v>
      </c>
      <c r="I29">
        <f t="shared" si="2"/>
        <v>0.26246719160104987</v>
      </c>
      <c r="K29">
        <v>3.81</v>
      </c>
      <c r="L29">
        <f t="shared" si="3"/>
        <v>0.26246719160104987</v>
      </c>
      <c r="N29">
        <v>3.8</v>
      </c>
      <c r="O29">
        <f t="shared" si="4"/>
        <v>0.26315789473684209</v>
      </c>
      <c r="Q29">
        <v>3.66</v>
      </c>
      <c r="R29">
        <f t="shared" si="5"/>
        <v>0.27322404371584696</v>
      </c>
      <c r="T29">
        <v>3.62</v>
      </c>
      <c r="U29">
        <f t="shared" si="6"/>
        <v>0.27624309392265195</v>
      </c>
      <c r="W29" t="s">
        <v>11</v>
      </c>
    </row>
    <row r="30" spans="8:23" x14ac:dyDescent="0.35">
      <c r="H30">
        <v>4.33</v>
      </c>
      <c r="I30">
        <f t="shared" si="2"/>
        <v>0.23094688221709006</v>
      </c>
      <c r="K30">
        <v>4.33</v>
      </c>
      <c r="L30">
        <f t="shared" si="3"/>
        <v>0.23094688221709006</v>
      </c>
      <c r="N30">
        <v>4.33</v>
      </c>
      <c r="O30">
        <f t="shared" si="4"/>
        <v>0.23094688221709006</v>
      </c>
      <c r="Q30">
        <v>4.21</v>
      </c>
      <c r="R30">
        <f t="shared" si="5"/>
        <v>0.23752969121140144</v>
      </c>
      <c r="T30">
        <v>4.16</v>
      </c>
      <c r="U30">
        <f t="shared" si="6"/>
        <v>0.24038461538461536</v>
      </c>
    </row>
    <row r="31" spans="8:23" x14ac:dyDescent="0.35">
      <c r="H31">
        <v>4.91</v>
      </c>
      <c r="I31">
        <f t="shared" si="2"/>
        <v>0.20366598778004072</v>
      </c>
      <c r="K31">
        <v>4.92</v>
      </c>
      <c r="L31">
        <f t="shared" si="3"/>
        <v>0.2032520325203252</v>
      </c>
      <c r="N31">
        <v>4.92</v>
      </c>
      <c r="O31">
        <f t="shared" si="4"/>
        <v>0.2032520325203252</v>
      </c>
      <c r="Q31">
        <v>4.8899999999999997</v>
      </c>
      <c r="R31">
        <f t="shared" si="5"/>
        <v>0.20449897750511248</v>
      </c>
      <c r="T31">
        <v>4.8600000000000003</v>
      </c>
      <c r="U31">
        <f t="shared" si="6"/>
        <v>0.20576131687242796</v>
      </c>
    </row>
    <row r="32" spans="8:23" x14ac:dyDescent="0.35">
      <c r="H32">
        <v>5.56</v>
      </c>
      <c r="I32">
        <f t="shared" si="2"/>
        <v>0.17985611510791369</v>
      </c>
      <c r="K32">
        <v>5.65</v>
      </c>
      <c r="L32">
        <f t="shared" si="3"/>
        <v>0.17699115044247787</v>
      </c>
      <c r="N32">
        <v>5.67</v>
      </c>
      <c r="O32">
        <f t="shared" si="4"/>
        <v>0.17636684303350969</v>
      </c>
      <c r="Q32">
        <v>5.53</v>
      </c>
      <c r="R32">
        <f t="shared" si="5"/>
        <v>0.18083182640144665</v>
      </c>
      <c r="T32">
        <v>5.44</v>
      </c>
      <c r="U32">
        <f t="shared" si="6"/>
        <v>0.18382352941176469</v>
      </c>
    </row>
    <row r="36" spans="8:23" x14ac:dyDescent="0.35">
      <c r="H36">
        <v>2.76</v>
      </c>
      <c r="I36">
        <f t="shared" si="2"/>
        <v>0.3623188405797102</v>
      </c>
      <c r="K36">
        <v>2.75</v>
      </c>
      <c r="L36">
        <f t="shared" si="3"/>
        <v>0.36363636363636365</v>
      </c>
      <c r="N36">
        <v>2.82</v>
      </c>
      <c r="O36">
        <f t="shared" si="4"/>
        <v>0.3546099290780142</v>
      </c>
      <c r="Q36">
        <v>2.84</v>
      </c>
      <c r="R36">
        <f t="shared" si="5"/>
        <v>0.35211267605633806</v>
      </c>
      <c r="T36">
        <v>2.76</v>
      </c>
      <c r="U36">
        <f t="shared" si="6"/>
        <v>0.3623188405797102</v>
      </c>
    </row>
    <row r="37" spans="8:23" x14ac:dyDescent="0.35">
      <c r="H37">
        <v>3.62</v>
      </c>
      <c r="I37">
        <f t="shared" si="2"/>
        <v>0.27624309392265195</v>
      </c>
      <c r="K37">
        <v>3.72</v>
      </c>
      <c r="L37">
        <f t="shared" si="3"/>
        <v>0.26881720430107525</v>
      </c>
      <c r="N37">
        <v>3.84</v>
      </c>
      <c r="O37">
        <f t="shared" si="4"/>
        <v>0.26041666666666669</v>
      </c>
      <c r="Q37">
        <v>3.82</v>
      </c>
      <c r="R37">
        <f t="shared" si="5"/>
        <v>0.26178010471204188</v>
      </c>
      <c r="T37">
        <v>3.78</v>
      </c>
      <c r="U37">
        <f t="shared" si="6"/>
        <v>0.26455026455026459</v>
      </c>
    </row>
    <row r="38" spans="8:23" x14ac:dyDescent="0.35">
      <c r="H38">
        <v>4.49</v>
      </c>
      <c r="I38">
        <f t="shared" si="2"/>
        <v>0.22271714922048996</v>
      </c>
      <c r="K38">
        <v>4.62</v>
      </c>
      <c r="L38">
        <f t="shared" si="3"/>
        <v>0.21645021645021645</v>
      </c>
      <c r="N38">
        <v>4.71</v>
      </c>
      <c r="O38">
        <f t="shared" si="4"/>
        <v>0.21231422505307856</v>
      </c>
      <c r="Q38">
        <v>4.76</v>
      </c>
      <c r="R38">
        <f t="shared" si="5"/>
        <v>0.21008403361344538</v>
      </c>
      <c r="T38">
        <v>4.7</v>
      </c>
      <c r="U38">
        <f t="shared" si="6"/>
        <v>0.21276595744680851</v>
      </c>
    </row>
    <row r="39" spans="8:23" x14ac:dyDescent="0.35">
      <c r="H39">
        <v>5.16</v>
      </c>
      <c r="I39">
        <f t="shared" si="2"/>
        <v>0.19379844961240308</v>
      </c>
      <c r="K39">
        <v>5.32</v>
      </c>
      <c r="L39">
        <f t="shared" si="3"/>
        <v>0.18796992481203006</v>
      </c>
      <c r="N39">
        <v>5.41</v>
      </c>
      <c r="O39">
        <f t="shared" si="4"/>
        <v>0.18484288354898337</v>
      </c>
      <c r="Q39">
        <v>5.44</v>
      </c>
      <c r="R39">
        <f t="shared" si="5"/>
        <v>0.18382352941176469</v>
      </c>
      <c r="T39">
        <v>5.35</v>
      </c>
      <c r="U39">
        <f t="shared" si="6"/>
        <v>0.18691588785046731</v>
      </c>
      <c r="W39" t="s">
        <v>12</v>
      </c>
    </row>
    <row r="40" spans="8:23" x14ac:dyDescent="0.35">
      <c r="H40">
        <v>5.71</v>
      </c>
      <c r="I40">
        <f t="shared" si="2"/>
        <v>0.17513134851138354</v>
      </c>
      <c r="K40">
        <v>5.89</v>
      </c>
      <c r="L40">
        <f t="shared" si="3"/>
        <v>0.16977928692699493</v>
      </c>
      <c r="N40">
        <v>5.95</v>
      </c>
      <c r="O40">
        <f t="shared" si="4"/>
        <v>0.16806722689075629</v>
      </c>
      <c r="Q40">
        <v>6</v>
      </c>
      <c r="R40">
        <f t="shared" si="5"/>
        <v>0.16666666666666666</v>
      </c>
      <c r="T40">
        <v>5.94</v>
      </c>
      <c r="U40">
        <f t="shared" si="6"/>
        <v>0.16835016835016833</v>
      </c>
    </row>
    <row r="41" spans="8:23" x14ac:dyDescent="0.35">
      <c r="H41">
        <v>6.21</v>
      </c>
      <c r="I41">
        <f t="shared" si="2"/>
        <v>0.1610305958132045</v>
      </c>
      <c r="K41">
        <v>6.48</v>
      </c>
      <c r="L41">
        <f t="shared" si="3"/>
        <v>0.15432098765432098</v>
      </c>
      <c r="N41">
        <v>6.56</v>
      </c>
      <c r="O41">
        <f t="shared" si="4"/>
        <v>0.1524390243902439</v>
      </c>
      <c r="Q41">
        <v>6.65</v>
      </c>
      <c r="R41">
        <f t="shared" si="5"/>
        <v>0.15037593984962405</v>
      </c>
      <c r="T41">
        <v>6.76</v>
      </c>
      <c r="U41">
        <f t="shared" si="6"/>
        <v>0.14792899408284024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kumar</dc:creator>
  <cp:lastModifiedBy>Sarvesh Kumar</cp:lastModifiedBy>
  <dcterms:created xsi:type="dcterms:W3CDTF">2023-02-05T11:09:32Z</dcterms:created>
  <dcterms:modified xsi:type="dcterms:W3CDTF">2026-08-04T15:00:27Z</dcterms:modified>
</cp:coreProperties>
</file>